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or Shuttle Ziar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p &quot;#,##0"/>
    <numFmt numFmtId="165" formatCode="#,##0&quot; penumpang&quot;"/>
    <numFmt numFmtId="166" formatCode="#,##0&quot; hari&quot;"/>
    <numFmt numFmtId="167" formatCode="#,##0&quot; trip/hari&quot;"/>
    <numFmt numFmtId="168" formatCode="&quot;Rp &quot;#,##0;[Red](&quot;-Rp &quot;#,#)"/>
    <numFmt numFmtId="169" formatCode="0.0&quot; trip/hari&quot;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9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6" fillId="3" borderId="1" applyAlignment="1" pivotButton="0" quotePrefix="0" xfId="0">
      <alignment horizontal="right" vertical="center"/>
    </xf>
    <xf numFmtId="0" fontId="2" fillId="0" borderId="1" pivotButton="0" quotePrefix="0" xfId="0"/>
    <xf numFmtId="165" fontId="6" fillId="3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7" fontId="6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2" pivotButton="0" quotePrefix="0" xfId="0"/>
    <xf numFmtId="168" fontId="6" fillId="4" borderId="2" applyAlignment="1" pivotButton="0" quotePrefix="0" xfId="0">
      <alignment horizontal="right" vertical="center"/>
    </xf>
    <xf numFmtId="0" fontId="7" fillId="0" borderId="2" pivotButton="0" quotePrefix="0" xfId="0"/>
    <xf numFmtId="169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58" customWidth="1" min="3" max="3"/>
  </cols>
  <sheetData>
    <row r="1" ht="25" customHeight="1">
      <c r="A1" s="1" t="inlineStr">
        <is>
          <t>KALKULATOR FINANSIAL &amp; SIMULASI SHUTTLE ZIARAH</t>
        </is>
      </c>
    </row>
    <row r="2" ht="18" customHeight="1">
      <c r="A2" s="2" t="inlineStr">
        <is>
          <t>Rute: Makam Rm. Sanjoyo (Muntilan) &lt;-&gt; Gua Maria Sendangsono | peziarah.com</t>
        </is>
      </c>
    </row>
    <row r="4">
      <c r="A4" s="3" t="inlineStr">
        <is>
          <t>PARAMETER INPUT</t>
        </is>
      </c>
    </row>
    <row r="5" ht="24" customHeight="1">
      <c r="A5" s="4" t="inlineStr">
        <is>
          <t>Parameter / Variabel</t>
        </is>
      </c>
      <c r="B5" s="4" t="inlineStr">
        <is>
          <t>Nilai Input</t>
        </is>
      </c>
      <c r="C5" s="4" t="inlineStr">
        <is>
          <t>Catatan / Deskripsi</t>
        </is>
      </c>
    </row>
    <row r="6">
      <c r="A6" s="5" t="inlineStr">
        <is>
          <t>Harga Sewa Bulanan (Rp)</t>
        </is>
      </c>
      <c r="B6" s="6" t="n">
        <v>25000000</v>
      </c>
      <c r="C6" s="7" t="inlineStr">
        <is>
          <t>Ubah nilai ini kapan saja untuk simulasi</t>
        </is>
      </c>
    </row>
    <row r="7">
      <c r="A7" s="5" t="inlineStr">
        <is>
          <t>Tarif Tiket per Penumpang (Rp)</t>
        </is>
      </c>
      <c r="B7" s="6" t="n">
        <v>25000</v>
      </c>
      <c r="C7" s="7" t="inlineStr">
        <is>
          <t>Tarif pulang-pergi (PP) per penumpang</t>
        </is>
      </c>
    </row>
    <row r="8">
      <c r="A8" s="5" t="inlineStr">
        <is>
          <t>Kapasitas per Trip (Penumpang)</t>
        </is>
      </c>
      <c r="B8" s="8" t="n">
        <v>14</v>
      </c>
      <c r="C8" s="7" t="inlineStr">
        <is>
          <t>Kapasitas kursi Hiace (eks. driver)</t>
        </is>
      </c>
    </row>
    <row r="9">
      <c r="A9" s="5" t="inlineStr">
        <is>
          <t>Biaya BBM &amp; Ops per Trip (Rp)</t>
        </is>
      </c>
      <c r="B9" s="6" t="n">
        <v>60000</v>
      </c>
      <c r="C9" s="7" t="inlineStr">
        <is>
          <t>Biaya BBM + sopir per 1 trip PP (~30 km)</t>
        </is>
      </c>
    </row>
    <row r="10">
      <c r="A10" s="5" t="inlineStr">
        <is>
          <t>Hari Operasional dalam Sebulan</t>
        </is>
      </c>
      <c r="B10" s="9" t="n">
        <v>31</v>
      </c>
      <c r="C10" s="7" t="inlineStr">
        <is>
          <t>Total hari aktif (contoh: Mei / Oktober)</t>
        </is>
      </c>
    </row>
    <row r="11">
      <c r="A11" s="5" t="inlineStr">
        <is>
          <t>Jadwal Trip PP Harian</t>
        </is>
      </c>
      <c r="B11" s="10" t="n">
        <v>4</v>
      </c>
      <c r="C11" s="7" t="inlineStr">
        <is>
          <t>Jumlah trip PP yang dijadwalkan per hari</t>
        </is>
      </c>
    </row>
    <row r="13">
      <c r="A13" s="3" t="inlineStr">
        <is>
          <t>METRIK &amp; HASIL KALKULASI UTAMA</t>
        </is>
      </c>
    </row>
    <row r="14" ht="24" customHeight="1">
      <c r="A14" s="4" t="inlineStr">
        <is>
          <t>Metrik Utama</t>
        </is>
      </c>
      <c r="B14" s="4" t="inlineStr">
        <is>
          <t>Nilai Terkalkulasi</t>
        </is>
      </c>
      <c r="C14" s="4" t="inlineStr">
        <is>
          <t>Deskripsi &amp; Formulasi</t>
        </is>
      </c>
    </row>
    <row r="15">
      <c r="A15" s="5" t="inlineStr">
        <is>
          <t>Total Penumpang Bulanan</t>
        </is>
      </c>
      <c r="B15" s="11">
        <f>B11*B8*B10</f>
        <v/>
      </c>
      <c r="C15" s="12" t="inlineStr">
        <is>
          <t>Total ketersediaan kursi penumpang per bulan</t>
        </is>
      </c>
    </row>
    <row r="16">
      <c r="A16" s="5" t="inlineStr">
        <is>
          <t>Pendapatan Kotor Bulanan</t>
        </is>
      </c>
      <c r="B16" s="13">
        <f>B15*B7</f>
        <v/>
      </c>
      <c r="C16" s="12" t="inlineStr">
        <is>
          <t>Total penerimaan dari penjualan tiket</t>
        </is>
      </c>
    </row>
    <row r="17">
      <c r="A17" s="5" t="inlineStr">
        <is>
          <t>Total Biaya Bulanan</t>
        </is>
      </c>
      <c r="B17" s="13">
        <f>B6+(B11*B9*B10)</f>
        <v/>
      </c>
      <c r="C17" s="12" t="inlineStr">
        <is>
          <t>Biaya sewa Hiace + total variabel BBM &amp; sopir</t>
        </is>
      </c>
    </row>
    <row r="18">
      <c r="A18" s="14" t="inlineStr">
        <is>
          <t>Laba Bersih / (Subsidi Merek)</t>
        </is>
      </c>
      <c r="B18" s="15">
        <f>B16-B17</f>
        <v/>
      </c>
      <c r="C18" s="16" t="inlineStr">
        <is>
          <t>Positif = Net Profit | Negatif = Subsidi Branding</t>
        </is>
      </c>
    </row>
    <row r="19">
      <c r="A19" s="5" t="inlineStr">
        <is>
          <t>Penumpang Titik Impas / Bulan</t>
        </is>
      </c>
      <c r="B19" s="11">
        <f>B6/(B7-(B9/B8))</f>
        <v/>
      </c>
      <c r="C19" s="12" t="inlineStr">
        <is>
          <t>Target total penumpang bulanan untuk laba Rp 0</t>
        </is>
      </c>
    </row>
    <row r="20">
      <c r="A20" s="5" t="inlineStr">
        <is>
          <t>Penumpang Titik Impas / Hari</t>
        </is>
      </c>
      <c r="B20" s="11">
        <f>B19/B10</f>
        <v/>
      </c>
      <c r="C20" s="12" t="inlineStr">
        <is>
          <t>Target penumpang harian untuk laba Rp 0</t>
        </is>
      </c>
    </row>
    <row r="21">
      <c r="A21" s="5" t="inlineStr">
        <is>
          <t>Trip Harian Titik Impas</t>
        </is>
      </c>
      <c r="B21" s="17">
        <f>B20/B8</f>
        <v/>
      </c>
      <c r="C21" s="12" t="inlineStr">
        <is>
          <t>Jumlah trip Hiace penuh (14 kursi) per hari untuk impas</t>
        </is>
      </c>
    </row>
    <row r="22">
      <c r="A22" s="5" t="inlineStr">
        <is>
          <t>Biaya CAC Efektif per Penumpang</t>
        </is>
      </c>
      <c r="B22" s="13">
        <f>MAX(0, B17-B16)/B15</f>
        <v/>
      </c>
      <c r="C22" s="12" t="inlineStr">
        <is>
          <t>Biaya akuisisi per prospek peziarah.com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2026-08-28T10:06:24Z</dcterms:created>
  <dcterms:modified xmlns:dcterms="http://purl.org/dc/terms/" xmlns:xsi="http://www.w3.org/2001/XMLSchema-instance" xsi:type="dcterms:W3CDTF">2026-08-28T10:06:24Z</dcterms:modified>
</cp:coreProperties>
</file>